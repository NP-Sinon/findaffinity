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era Facturas Emit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  <font>
      <name val="Consolas"/>
      <sz val="9"/>
    </font>
    <font>
      <name val="Segoe UI"/>
      <b val="1"/>
      <sz val="9"/>
    </font>
  </fonts>
  <fills count="4">
    <fill>
      <patternFill/>
    </fill>
    <fill>
      <patternFill patternType="gray125"/>
    </fill>
    <fill>
      <patternFill patternType="solid">
        <fgColor rgb="0018181B"/>
        <bgColor rgb="0018181B"/>
      </patternFill>
    </fill>
    <fill>
      <patternFill patternType="solid">
        <fgColor rgb="00F4F4F5"/>
        <bgColor rgb="00F4F4F5"/>
      </patternFill>
    </fill>
  </fills>
  <borders count="2">
    <border>
      <left/>
      <right/>
      <top/>
      <bottom/>
      <diagonal/>
    </border>
    <border>
      <left style="thin">
        <color rgb="00E4E4E7"/>
      </left>
      <right style="thin">
        <color rgb="00E4E4E7"/>
      </right>
      <top style="thin">
        <color rgb="00E4E4E7"/>
      </top>
      <bottom style="thin">
        <color rgb="00E4E4E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164" fontId="2" fillId="3" borderId="1" applyAlignment="1" pivotButton="0" quotePrefix="0" xfId="0">
      <alignment horizontal="right"/>
    </xf>
    <xf numFmtId="0" fontId="3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right"/>
    </xf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15" customWidth="1" min="1" max="1"/>
    <col width="51" customWidth="1" min="2" max="2"/>
    <col width="13" customWidth="1" min="3" max="3"/>
    <col width="16" customWidth="1" min="4" max="4"/>
    <col width="20" customWidth="1" min="5" max="5"/>
    <col width="21" customWidth="1" min="6" max="6"/>
    <col width="12" customWidth="1" min="7" max="7"/>
    <col width="16" customWidth="1" min="8" max="8"/>
    <col width="20" customWidth="1" min="9" max="9"/>
    <col width="16" customWidth="1" min="10" max="10"/>
    <col width="32" customWidth="1" min="11" max="11"/>
    <col width="66" customWidth="1" min="12" max="12"/>
  </cols>
  <sheetData>
    <row r="1" ht="24" customHeight="1">
      <c r="A1" s="1" t="inlineStr">
        <is>
          <t>Nº Factura</t>
        </is>
      </c>
      <c r="B1" s="2" t="inlineStr">
        <is>
          <t>Cliente / Razón Social</t>
        </is>
      </c>
      <c r="C1" s="1" t="inlineStr">
        <is>
          <t>CIF / NIF</t>
        </is>
      </c>
      <c r="D1" s="1" t="inlineStr">
        <is>
          <t>Fecha Emisión</t>
        </is>
      </c>
      <c r="E1" s="1" t="inlineStr">
        <is>
          <t>Fecha Vencimiento</t>
        </is>
      </c>
      <c r="F1" s="2" t="inlineStr">
        <is>
          <t>Base Imponible (€)</t>
        </is>
      </c>
      <c r="G1" s="2" t="inlineStr">
        <is>
          <t>% IVA</t>
        </is>
      </c>
      <c r="H1" s="2" t="inlineStr">
        <is>
          <t>Cuota IVA (€)</t>
        </is>
      </c>
      <c r="I1" s="2" t="inlineStr">
        <is>
          <t>Total Factura (€)</t>
        </is>
      </c>
      <c r="J1" s="2" t="inlineStr">
        <is>
          <t>Subcuenta 430</t>
        </is>
      </c>
      <c r="K1" s="2" t="inlineStr">
        <is>
          <t>Estado de Cobro</t>
        </is>
      </c>
      <c r="L1" s="2" t="inlineStr">
        <is>
          <t>Concepto Principal</t>
        </is>
      </c>
    </row>
    <row r="2">
      <c r="A2" s="3" t="inlineStr">
        <is>
          <t>FRA-2026-001</t>
        </is>
      </c>
      <c r="B2" s="4" t="inlineStr">
        <is>
          <t>Logística Exprés Ibérica S.L.</t>
        </is>
      </c>
      <c r="C2" s="3" t="inlineStr">
        <is>
          <t>B-87654321</t>
        </is>
      </c>
      <c r="D2" s="5" t="inlineStr">
        <is>
          <t>2026-10-02</t>
        </is>
      </c>
      <c r="E2" s="5" t="inlineStr">
        <is>
          <t>2026-10-02</t>
        </is>
      </c>
      <c r="F2" s="6" t="n">
        <v>1033.06</v>
      </c>
      <c r="G2" s="5" t="inlineStr">
        <is>
          <t>21%</t>
        </is>
      </c>
      <c r="H2" s="6" t="n">
        <v>216.94</v>
      </c>
      <c r="I2" s="6" t="n">
        <v>1250</v>
      </c>
      <c r="J2" s="3" t="inlineStr">
        <is>
          <t>430000001</t>
        </is>
      </c>
      <c r="K2" s="4" t="inlineStr">
        <is>
          <t>Cobrada por Stripe</t>
        </is>
      </c>
      <c r="L2" s="4" t="inlineStr">
        <is>
          <t>Servicios de transporte y distribución paletizada Q3</t>
        </is>
      </c>
    </row>
    <row r="3">
      <c r="A3" s="7" t="inlineStr">
        <is>
          <t>FRA-2026-002</t>
        </is>
      </c>
      <c r="B3" s="8" t="inlineStr">
        <is>
          <t>Telefónica Soluciones Digitales S.A.</t>
        </is>
      </c>
      <c r="C3" s="7" t="inlineStr">
        <is>
          <t>A-28001234</t>
        </is>
      </c>
      <c r="D3" s="9" t="inlineStr">
        <is>
          <t>2026-10-03</t>
        </is>
      </c>
      <c r="E3" s="9" t="inlineStr">
        <is>
          <t>2026-10-03</t>
        </is>
      </c>
      <c r="F3" s="10" t="n">
        <v>735.95</v>
      </c>
      <c r="G3" s="9" t="inlineStr">
        <is>
          <t>21%</t>
        </is>
      </c>
      <c r="H3" s="10" t="n">
        <v>154.55</v>
      </c>
      <c r="I3" s="10" t="n">
        <v>890.5</v>
      </c>
      <c r="J3" s="7" t="inlineStr">
        <is>
          <t>430000002</t>
        </is>
      </c>
      <c r="K3" s="8" t="inlineStr">
        <is>
          <t>Cobrada por Stripe</t>
        </is>
      </c>
      <c r="L3" s="8" t="inlineStr">
        <is>
          <t>Licencia software cloud computing y soporte 24/7</t>
        </is>
      </c>
    </row>
    <row r="4">
      <c r="A4" s="3" t="inlineStr">
        <is>
          <t>FRA-2026-003</t>
        </is>
      </c>
      <c r="B4" s="4" t="inlineStr">
        <is>
          <t>Almacenes Centrales Madrid S.L.</t>
        </is>
      </c>
      <c r="C4" s="3" t="inlineStr">
        <is>
          <t>B-81234567</t>
        </is>
      </c>
      <c r="D4" s="5" t="inlineStr">
        <is>
          <t>2026-10-05</t>
        </is>
      </c>
      <c r="E4" s="5" t="inlineStr">
        <is>
          <t>2026-10-05</t>
        </is>
      </c>
      <c r="F4" s="6" t="n">
        <v>2024.79</v>
      </c>
      <c r="G4" s="5" t="inlineStr">
        <is>
          <t>21%</t>
        </is>
      </c>
      <c r="H4" s="6" t="n">
        <v>425.21</v>
      </c>
      <c r="I4" s="6" t="n">
        <v>2450</v>
      </c>
      <c r="J4" s="3" t="inlineStr">
        <is>
          <t>430000003</t>
        </is>
      </c>
      <c r="K4" s="4" t="inlineStr">
        <is>
          <t>Cobrada por Transferencia B2B</t>
        </is>
      </c>
      <c r="L4" s="4" t="inlineStr">
        <is>
          <t>Suministro estanterías industriales modulares tipo rack</t>
        </is>
      </c>
    </row>
    <row r="5">
      <c r="A5" s="7" t="inlineStr">
        <is>
          <t>FRA-2026-004</t>
        </is>
      </c>
      <c r="B5" s="8" t="inlineStr">
        <is>
          <t>Distribuciones Alimentarias del Sur S.L.</t>
        </is>
      </c>
      <c r="C5" s="7" t="inlineStr">
        <is>
          <t>B-41889900</t>
        </is>
      </c>
      <c r="D5" s="9" t="inlineStr">
        <is>
          <t>2026-10-05</t>
        </is>
      </c>
      <c r="E5" s="9" t="inlineStr">
        <is>
          <t>2026-10-05</t>
        </is>
      </c>
      <c r="F5" s="10" t="n">
        <v>574.38</v>
      </c>
      <c r="G5" s="9" t="inlineStr">
        <is>
          <t>21%</t>
        </is>
      </c>
      <c r="H5" s="10" t="n">
        <v>120.62</v>
      </c>
      <c r="I5" s="10" t="n">
        <v>695</v>
      </c>
      <c r="J5" s="7" t="inlineStr">
        <is>
          <t>430000004</t>
        </is>
      </c>
      <c r="K5" s="8" t="inlineStr">
        <is>
          <t>Cobrada por Stripe</t>
        </is>
      </c>
      <c r="L5" s="8" t="inlineStr">
        <is>
          <t>Lote embalajes isotérmicos para alimentación fresca</t>
        </is>
      </c>
    </row>
    <row r="6">
      <c r="A6" s="3" t="inlineStr">
        <is>
          <t>FRA-2026-005</t>
        </is>
      </c>
      <c r="B6" s="4" t="inlineStr">
        <is>
          <t>Consultoría Tecnológica Novatech S.L.</t>
        </is>
      </c>
      <c r="C6" s="3" t="inlineStr">
        <is>
          <t>B-91827364</t>
        </is>
      </c>
      <c r="D6" s="5" t="inlineStr">
        <is>
          <t>2026-10-06</t>
        </is>
      </c>
      <c r="E6" s="5" t="inlineStr">
        <is>
          <t>2026-10-10</t>
        </is>
      </c>
      <c r="F6" s="6" t="n">
        <v>2561.98</v>
      </c>
      <c r="G6" s="5" t="inlineStr">
        <is>
          <t>21%</t>
        </is>
      </c>
      <c r="H6" s="6" t="n">
        <v>538.02</v>
      </c>
      <c r="I6" s="6" t="n">
        <v>3100</v>
      </c>
      <c r="J6" s="3" t="inlineStr">
        <is>
          <t>430000005</t>
        </is>
      </c>
      <c r="K6" s="4" t="inlineStr">
        <is>
          <t>Pendiente de cobro</t>
        </is>
      </c>
      <c r="L6" s="4" t="inlineStr">
        <is>
          <t>Auditoría de ciberseguridad y test de intrusión web</t>
        </is>
      </c>
    </row>
    <row r="7">
      <c r="A7" s="7" t="inlineStr">
        <is>
          <t>FRA-2026-006</t>
        </is>
      </c>
      <c r="B7" s="8" t="inlineStr">
        <is>
          <t>Construcciones &amp; Reformas Mediterráneo S.L.</t>
        </is>
      </c>
      <c r="C7" s="7" t="inlineStr">
        <is>
          <t>B-54892103</t>
        </is>
      </c>
      <c r="D7" s="9" t="inlineStr">
        <is>
          <t>2026-10-07</t>
        </is>
      </c>
      <c r="E7" s="9" t="inlineStr">
        <is>
          <t>2026-10-12</t>
        </is>
      </c>
      <c r="F7" s="10" t="n">
        <v>1471.28</v>
      </c>
      <c r="G7" s="9" t="inlineStr">
        <is>
          <t>21%</t>
        </is>
      </c>
      <c r="H7" s="10" t="n">
        <v>308.97</v>
      </c>
      <c r="I7" s="10" t="n">
        <v>1780.25</v>
      </c>
      <c r="J7" s="7" t="inlineStr">
        <is>
          <t>430000006</t>
        </is>
      </c>
      <c r="K7" s="8" t="inlineStr">
        <is>
          <t>Cobrada por Redsys TPV</t>
        </is>
      </c>
      <c r="L7" s="8" t="inlineStr">
        <is>
          <t>Materiales aislantes térmicos y placas yeso laminado</t>
        </is>
      </c>
    </row>
    <row r="8">
      <c r="A8" s="3" t="inlineStr">
        <is>
          <t>FRA-2026-007</t>
        </is>
      </c>
      <c r="B8" s="4" t="inlineStr">
        <is>
          <t>Papelería e Imprenta Gráficas Cantabria S.L.</t>
        </is>
      </c>
      <c r="C8" s="3" t="inlineStr">
        <is>
          <t>B-33445566</t>
        </is>
      </c>
      <c r="D8" s="5" t="inlineStr">
        <is>
          <t>2026-10-07</t>
        </is>
      </c>
      <c r="E8" s="5" t="inlineStr">
        <is>
          <t>2026-10-12</t>
        </is>
      </c>
      <c r="F8" s="6" t="n">
        <v>347.11</v>
      </c>
      <c r="G8" s="5" t="inlineStr">
        <is>
          <t>21%</t>
        </is>
      </c>
      <c r="H8" s="6" t="n">
        <v>72.89</v>
      </c>
      <c r="I8" s="6" t="n">
        <v>420</v>
      </c>
      <c r="J8" s="3" t="inlineStr">
        <is>
          <t>430000007</t>
        </is>
      </c>
      <c r="K8" s="4" t="inlineStr">
        <is>
          <t>Cobrada por Redsys TPV</t>
        </is>
      </c>
      <c r="L8" s="4" t="inlineStr">
        <is>
          <t>Impresión de catálogos corporativos y flyers A5</t>
        </is>
      </c>
    </row>
    <row r="9">
      <c r="A9" s="7" t="inlineStr">
        <is>
          <t>FRA-2026-008</t>
        </is>
      </c>
      <c r="B9" s="8" t="inlineStr">
        <is>
          <t>CONSTRUCCIONES HNOS. MARTINEZ S.L.</t>
        </is>
      </c>
      <c r="C9" s="7" t="inlineStr">
        <is>
          <t>B-41982737</t>
        </is>
      </c>
      <c r="D9" s="9" t="inlineStr">
        <is>
          <t>2026-10-08</t>
        </is>
      </c>
      <c r="E9" s="9" t="inlineStr">
        <is>
          <t>2026-10-10</t>
        </is>
      </c>
      <c r="F9" s="10" t="n">
        <v>1198.35</v>
      </c>
      <c r="G9" s="9" t="inlineStr">
        <is>
          <t>21%</t>
        </is>
      </c>
      <c r="H9" s="10" t="n">
        <v>251.65</v>
      </c>
      <c r="I9" s="10" t="n">
        <v>1450</v>
      </c>
      <c r="J9" s="7" t="inlineStr">
        <is>
          <t>430000008</t>
        </is>
      </c>
      <c r="K9" s="8" t="inlineStr">
        <is>
          <t>Cobrada por Transferencia B2B</t>
        </is>
      </c>
      <c r="L9" s="8" t="inlineStr">
        <is>
          <t>Instalación cuadros eléctricos trifásicos y canalización</t>
        </is>
      </c>
    </row>
    <row r="10">
      <c r="A10" s="3" t="inlineStr">
        <is>
          <t>FRA-2026-009</t>
        </is>
      </c>
      <c r="B10" s="4" t="inlineStr">
        <is>
          <t>AMAZON SERVICES EUROPE S.A.R.L.</t>
        </is>
      </c>
      <c r="C10" s="3" t="inlineStr">
        <is>
          <t>W0185698H</t>
        </is>
      </c>
      <c r="D10" s="5" t="inlineStr">
        <is>
          <t>2026-10-08</t>
        </is>
      </c>
      <c r="E10" s="5" t="inlineStr">
        <is>
          <t>2026-10-15</t>
        </is>
      </c>
      <c r="F10" s="6" t="n">
        <v>2410</v>
      </c>
      <c r="G10" s="5" t="inlineStr">
        <is>
          <t>0%</t>
        </is>
      </c>
      <c r="H10" s="6" t="n">
        <v>0</v>
      </c>
      <c r="I10" s="6" t="n">
        <v>2410</v>
      </c>
      <c r="J10" s="3" t="inlineStr">
        <is>
          <t>430000009</t>
        </is>
      </c>
      <c r="K10" s="4" t="inlineStr">
        <is>
          <t>Cobrada por Transferencia B2B</t>
        </is>
      </c>
      <c r="L10" s="4" t="inlineStr">
        <is>
          <t>Servicios de logística e intermediación comercial europea (ISP)</t>
        </is>
      </c>
    </row>
    <row r="11">
      <c r="A11" s="7" t="inlineStr">
        <is>
          <t>FRA-2026-010</t>
        </is>
      </c>
      <c r="B11" s="8" t="inlineStr">
        <is>
          <t>Asesoría Fiscal &amp; Laboral Castelar S.L.P.</t>
        </is>
      </c>
      <c r="C11" s="7" t="inlineStr">
        <is>
          <t>B-86543219</t>
        </is>
      </c>
      <c r="D11" s="9" t="inlineStr">
        <is>
          <t>2026-10-09</t>
        </is>
      </c>
      <c r="E11" s="9" t="inlineStr">
        <is>
          <t>2026-10-20</t>
        </is>
      </c>
      <c r="F11" s="10" t="n">
        <v>785.12</v>
      </c>
      <c r="G11" s="9" t="inlineStr">
        <is>
          <t>21%</t>
        </is>
      </c>
      <c r="H11" s="10" t="n">
        <v>164.88</v>
      </c>
      <c r="I11" s="10" t="n">
        <v>950</v>
      </c>
      <c r="J11" s="7" t="inlineStr">
        <is>
          <t>430000010</t>
        </is>
      </c>
      <c r="K11" s="8" t="inlineStr">
        <is>
          <t>Pendiente de cobro</t>
        </is>
      </c>
      <c r="L11" s="8" t="inlineStr">
        <is>
          <t>Honorarios consultoría fiscal cierre 3T e IS anticipado</t>
        </is>
      </c>
    </row>
    <row r="12">
      <c r="A12" s="3" t="inlineStr">
        <is>
          <t>FRA-2026-011</t>
        </is>
      </c>
      <c r="B12" s="4" t="inlineStr">
        <is>
          <t>Maquinaria Industrial Aragón S.L.</t>
        </is>
      </c>
      <c r="C12" s="3" t="inlineStr">
        <is>
          <t>B-50987654</t>
        </is>
      </c>
      <c r="D12" s="5" t="inlineStr">
        <is>
          <t>2026-10-09</t>
        </is>
      </c>
      <c r="E12" s="5" t="inlineStr">
        <is>
          <t>2026-10-25</t>
        </is>
      </c>
      <c r="F12" s="6" t="n">
        <v>3983.47</v>
      </c>
      <c r="G12" s="5" t="inlineStr">
        <is>
          <t>21%</t>
        </is>
      </c>
      <c r="H12" s="6" t="n">
        <v>836.53</v>
      </c>
      <c r="I12" s="6" t="n">
        <v>4820</v>
      </c>
      <c r="J12" s="3" t="inlineStr">
        <is>
          <t>430000011</t>
        </is>
      </c>
      <c r="K12" s="4" t="inlineStr">
        <is>
          <t>Pendiente de cobro</t>
        </is>
      </c>
      <c r="L12" s="4" t="inlineStr">
        <is>
          <t>Mantenimiento preventivo y sustitución bombas hidráulicas</t>
        </is>
      </c>
    </row>
    <row r="13">
      <c r="A13" s="7" t="inlineStr">
        <is>
          <t>FRA-2026-012</t>
        </is>
      </c>
      <c r="B13" s="8" t="inlineStr">
        <is>
          <t>Farmacéutica &amp; Cosmética Cataluña S.A.</t>
        </is>
      </c>
      <c r="C13" s="7" t="inlineStr">
        <is>
          <t>A-08123987</t>
        </is>
      </c>
      <c r="D13" s="9" t="inlineStr">
        <is>
          <t>2026-10-10</t>
        </is>
      </c>
      <c r="E13" s="9" t="inlineStr">
        <is>
          <t>2026-10-10</t>
        </is>
      </c>
      <c r="F13" s="10" t="n">
        <v>1351.65</v>
      </c>
      <c r="G13" s="9" t="inlineStr">
        <is>
          <t>21%</t>
        </is>
      </c>
      <c r="H13" s="10" t="n">
        <v>283.85</v>
      </c>
      <c r="I13" s="10" t="n">
        <v>1635.5</v>
      </c>
      <c r="J13" s="7" t="inlineStr">
        <is>
          <t>430000012</t>
        </is>
      </c>
      <c r="K13" s="8" t="inlineStr">
        <is>
          <t>Cobrada por Stripe</t>
        </is>
      </c>
      <c r="L13" s="8" t="inlineStr">
        <is>
          <t>Envases estériles de vidrio grado farmacopea (100ml)</t>
        </is>
      </c>
    </row>
    <row r="14">
      <c r="A14" s="3" t="inlineStr">
        <is>
          <t>FRA-2026-013</t>
        </is>
      </c>
      <c r="B14" s="4" t="inlineStr">
        <is>
          <t>Hotelería &amp; Alojamientos Turísticos Levante S.L.</t>
        </is>
      </c>
      <c r="C14" s="3" t="inlineStr">
        <is>
          <t>B-98765432</t>
        </is>
      </c>
      <c r="D14" s="5" t="inlineStr">
        <is>
          <t>2026-10-10</t>
        </is>
      </c>
      <c r="E14" s="5" t="inlineStr">
        <is>
          <t>2026-10-12</t>
        </is>
      </c>
      <c r="F14" s="6" t="n">
        <v>644.63</v>
      </c>
      <c r="G14" s="5" t="inlineStr">
        <is>
          <t>21%</t>
        </is>
      </c>
      <c r="H14" s="6" t="n">
        <v>135.37</v>
      </c>
      <c r="I14" s="6" t="n">
        <v>780</v>
      </c>
      <c r="J14" s="3" t="inlineStr">
        <is>
          <t>430000013</t>
        </is>
      </c>
      <c r="K14" s="4" t="inlineStr">
        <is>
          <t>Cobrada por Redsys TPV</t>
        </is>
      </c>
      <c r="L14" s="4" t="inlineStr">
        <is>
          <t>Dotación lencería de cama y baño 100% algodón egipcio</t>
        </is>
      </c>
    </row>
    <row r="15">
      <c r="A15" s="7" t="inlineStr">
        <is>
          <t>FRA-2026-014</t>
        </is>
      </c>
      <c r="B15" s="8" t="inlineStr">
        <is>
          <t>Cítricos &amp; Frutas del Turia S.L.</t>
        </is>
      </c>
      <c r="C15" s="7" t="inlineStr">
        <is>
          <t>B-46123456</t>
        </is>
      </c>
      <c r="D15" s="9" t="inlineStr">
        <is>
          <t>2026-10-11</t>
        </is>
      </c>
      <c r="E15" s="9" t="inlineStr">
        <is>
          <t>2026-10-25</t>
        </is>
      </c>
      <c r="F15" s="10" t="n">
        <v>1776.86</v>
      </c>
      <c r="G15" s="9" t="inlineStr">
        <is>
          <t>21%</t>
        </is>
      </c>
      <c r="H15" s="10" t="n">
        <v>373.14</v>
      </c>
      <c r="I15" s="10" t="n">
        <v>2150</v>
      </c>
      <c r="J15" s="7" t="inlineStr">
        <is>
          <t>430000014</t>
        </is>
      </c>
      <c r="K15" s="8" t="inlineStr">
        <is>
          <t>Pendiente de cobro</t>
        </is>
      </c>
      <c r="L15" s="8" t="inlineStr">
        <is>
          <t>Cajas de madera tratada para exportación agrícola</t>
        </is>
      </c>
    </row>
    <row r="16">
      <c r="A16" s="3" t="inlineStr">
        <is>
          <t>FRA-2026-015</t>
        </is>
      </c>
      <c r="B16" s="4" t="inlineStr">
        <is>
          <t>Frigoríficos &amp; Pesca del Atlántico S.L.</t>
        </is>
      </c>
      <c r="C16" s="3" t="inlineStr">
        <is>
          <t>B-36987123</t>
        </is>
      </c>
      <c r="D16" s="5" t="inlineStr">
        <is>
          <t>2026-10-11</t>
        </is>
      </c>
      <c r="E16" s="5" t="inlineStr">
        <is>
          <t>2026-10-15</t>
        </is>
      </c>
      <c r="F16" s="6" t="n">
        <v>2809.92</v>
      </c>
      <c r="G16" s="5" t="inlineStr">
        <is>
          <t>21%</t>
        </is>
      </c>
      <c r="H16" s="6" t="n">
        <v>590.08</v>
      </c>
      <c r="I16" s="6" t="n">
        <v>3400</v>
      </c>
      <c r="J16" s="3" t="inlineStr">
        <is>
          <t>430000015</t>
        </is>
      </c>
      <c r="K16" s="4" t="inlineStr">
        <is>
          <t>Cobrada por Transferencia B2B</t>
        </is>
      </c>
      <c r="L16" s="4" t="inlineStr">
        <is>
          <t>Reparación compresores de congelación rápida túnel B</t>
        </is>
      </c>
    </row>
    <row r="17">
      <c r="A17" s="7" t="inlineStr">
        <is>
          <t>FRA-2026-016</t>
        </is>
      </c>
      <c r="B17" s="8" t="inlineStr">
        <is>
          <t>Textil y Confección Galicia S.L.</t>
        </is>
      </c>
      <c r="C17" s="7" t="inlineStr">
        <is>
          <t>B-15432987</t>
        </is>
      </c>
      <c r="D17" s="9" t="inlineStr">
        <is>
          <t>2026-10-12</t>
        </is>
      </c>
      <c r="E17" s="9" t="inlineStr">
        <is>
          <t>2026-10-12</t>
        </is>
      </c>
      <c r="F17" s="10" t="n">
        <v>926.24</v>
      </c>
      <c r="G17" s="9" t="inlineStr">
        <is>
          <t>21%</t>
        </is>
      </c>
      <c r="H17" s="10" t="n">
        <v>194.51</v>
      </c>
      <c r="I17" s="10" t="n">
        <v>1120.75</v>
      </c>
      <c r="J17" s="7" t="inlineStr">
        <is>
          <t>430000016</t>
        </is>
      </c>
      <c r="K17" s="8" t="inlineStr">
        <is>
          <t>Cobrada por Stripe</t>
        </is>
      </c>
      <c r="L17" s="8" t="inlineStr">
        <is>
          <t>Tejido técnico transpirable impermeable rollo 50m</t>
        </is>
      </c>
    </row>
    <row r="18">
      <c r="A18" s="3" t="inlineStr">
        <is>
          <t>FRA-2026-017</t>
        </is>
      </c>
      <c r="B18" s="4" t="inlineStr">
        <is>
          <t>Metalúrgica del Besaya S.L.</t>
        </is>
      </c>
      <c r="C18" s="3" t="inlineStr">
        <is>
          <t>B-39876541</t>
        </is>
      </c>
      <c r="D18" s="5" t="inlineStr">
        <is>
          <t>2026-10-12</t>
        </is>
      </c>
      <c r="E18" s="5" t="inlineStr">
        <is>
          <t>2026-10-30</t>
        </is>
      </c>
      <c r="F18" s="6" t="n">
        <v>4628.1</v>
      </c>
      <c r="G18" s="5" t="inlineStr">
        <is>
          <t>21%</t>
        </is>
      </c>
      <c r="H18" s="6" t="n">
        <v>971.9</v>
      </c>
      <c r="I18" s="6" t="n">
        <v>5600</v>
      </c>
      <c r="J18" s="3" t="inlineStr">
        <is>
          <t>430000017</t>
        </is>
      </c>
      <c r="K18" s="4" t="inlineStr">
        <is>
          <t>Pendiente de cobro</t>
        </is>
      </c>
      <c r="L18" s="4" t="inlineStr">
        <is>
          <t>Perfilería de acero inoxidable grado marino AISI 316</t>
        </is>
      </c>
    </row>
    <row r="19">
      <c r="A19" s="7" t="inlineStr">
        <is>
          <t>FRA-2026-018</t>
        </is>
      </c>
      <c r="B19" s="8" t="inlineStr">
        <is>
          <t>Bodegas y Viñedos de La Rioja S.L.</t>
        </is>
      </c>
      <c r="C19" s="7" t="inlineStr">
        <is>
          <t>B-26543210</t>
        </is>
      </c>
      <c r="D19" s="9" t="inlineStr">
        <is>
          <t>2026-10-13</t>
        </is>
      </c>
      <c r="E19" s="9" t="inlineStr">
        <is>
          <t>2026-10-20</t>
        </is>
      </c>
      <c r="F19" s="10" t="n">
        <v>735.54</v>
      </c>
      <c r="G19" s="9" t="inlineStr">
        <is>
          <t>21%</t>
        </is>
      </c>
      <c r="H19" s="10" t="n">
        <v>154.46</v>
      </c>
      <c r="I19" s="10" t="n">
        <v>890</v>
      </c>
      <c r="J19" s="7" t="inlineStr">
        <is>
          <t>430000018</t>
        </is>
      </c>
      <c r="K19" s="8" t="inlineStr">
        <is>
          <t>Cobrada por Transferencia B2B</t>
        </is>
      </c>
      <c r="L19" s="8" t="inlineStr">
        <is>
          <t>Barricas de roble francés 225L para crianza enológica</t>
        </is>
      </c>
    </row>
    <row r="20">
      <c r="A20" s="3" t="inlineStr">
        <is>
          <t>FRA-2026-019</t>
        </is>
      </c>
      <c r="B20" s="4" t="inlineStr">
        <is>
          <t>Embutidos &amp; Jamones de Burgos S.L.</t>
        </is>
      </c>
      <c r="C20" s="3" t="inlineStr">
        <is>
          <t>B-09876543</t>
        </is>
      </c>
      <c r="D20" s="5" t="inlineStr">
        <is>
          <t>2026-10-13</t>
        </is>
      </c>
      <c r="E20" s="5" t="inlineStr">
        <is>
          <t>2026-10-13</t>
        </is>
      </c>
      <c r="F20" s="6" t="n">
        <v>1107.44</v>
      </c>
      <c r="G20" s="5" t="inlineStr">
        <is>
          <t>21%</t>
        </is>
      </c>
      <c r="H20" s="6" t="n">
        <v>232.56</v>
      </c>
      <c r="I20" s="6" t="n">
        <v>1340</v>
      </c>
      <c r="J20" s="3" t="inlineStr">
        <is>
          <t>430000019</t>
        </is>
      </c>
      <c r="K20" s="4" t="inlineStr">
        <is>
          <t>Cobrada por Stripe</t>
        </is>
      </c>
      <c r="L20" s="4" t="inlineStr">
        <is>
          <t>Bolsas de envasado al vacío retráctil alta barrera</t>
        </is>
      </c>
    </row>
    <row r="21">
      <c r="A21" s="7" t="inlineStr">
        <is>
          <t>FRA-2026-020</t>
        </is>
      </c>
      <c r="B21" s="8" t="inlineStr">
        <is>
          <t>Software &amp; Soluciones Cloud Valladolid S.L.</t>
        </is>
      </c>
      <c r="C21" s="7" t="inlineStr">
        <is>
          <t>B-47123985</t>
        </is>
      </c>
      <c r="D21" s="9" t="inlineStr">
        <is>
          <t>2026-10-14</t>
        </is>
      </c>
      <c r="E21" s="9" t="inlineStr">
        <is>
          <t>2026-10-31</t>
        </is>
      </c>
      <c r="F21" s="10" t="n">
        <v>2355.37</v>
      </c>
      <c r="G21" s="9" t="inlineStr">
        <is>
          <t>21%</t>
        </is>
      </c>
      <c r="H21" s="10" t="n">
        <v>494.63</v>
      </c>
      <c r="I21" s="10" t="n">
        <v>2850</v>
      </c>
      <c r="J21" s="7" t="inlineStr">
        <is>
          <t>430000020</t>
        </is>
      </c>
      <c r="K21" s="8" t="inlineStr">
        <is>
          <t>Pendiente de cobro</t>
        </is>
      </c>
      <c r="L21" s="8" t="inlineStr">
        <is>
          <t>Desarrollo API microservicios y despliegue contenedor Docker</t>
        </is>
      </c>
    </row>
    <row r="22">
      <c r="B22" s="11" t="inlineStr">
        <is>
          <t>TOTAL CARTERA</t>
        </is>
      </c>
      <c r="F22" s="12">
        <f>SUM(F2:F21)</f>
        <v/>
      </c>
      <c r="H22" s="12">
        <f>SUM(H2:H21)</f>
        <v/>
      </c>
      <c r="I22" s="12">
        <f>SUM(I2:I21)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2026-10-14T18:53:20Z</dcterms:created>
  <dcterms:modified xsi:type="dcterms:W3CDTF">2026-10-14T18:53:20Z</dcterms:modified>
</cp:coreProperties>
</file>